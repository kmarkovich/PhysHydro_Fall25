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markovich/Desktop/PhysHydro_Fall25/"/>
    </mc:Choice>
  </mc:AlternateContent>
  <xr:revisionPtr revIDLastSave="0" documentId="13_ncr:1_{6B487324-39FE-CA44-B14F-1DACA753CACB}" xr6:coauthVersionLast="47" xr6:coauthVersionMax="47" xr10:uidLastSave="{00000000-0000-0000-0000-000000000000}"/>
  <bookViews>
    <workbookView xWindow="360" yWindow="1280" windowWidth="30240" windowHeight="17260" activeTab="1" xr2:uid="{DD48C898-BB54-497A-AFC3-04D982ED7431}"/>
  </bookViews>
  <sheets>
    <sheet name="Sheet1" sheetId="1" r:id="rId1"/>
    <sheet name="for syllabus" sheetId="2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" l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</calcChain>
</file>

<file path=xl/sharedStrings.xml><?xml version="1.0" encoding="utf-8"?>
<sst xmlns="http://schemas.openxmlformats.org/spreadsheetml/2006/main" count="198" uniqueCount="137">
  <si>
    <t>course schedule for hydrogeology</t>
  </si>
  <si>
    <t>theme</t>
  </si>
  <si>
    <t>T lecture</t>
  </si>
  <si>
    <t>Th lecture</t>
  </si>
  <si>
    <t>Principles of groundwater flow</t>
  </si>
  <si>
    <t>Contaminant Hydrogeology</t>
  </si>
  <si>
    <t>geology</t>
  </si>
  <si>
    <t>Hydrualic head</t>
  </si>
  <si>
    <t>Darcy's Law</t>
  </si>
  <si>
    <t>Groundwater flow eqn (confined/unconfined)</t>
  </si>
  <si>
    <t>flownets, steady flow in confined and unconfined</t>
  </si>
  <si>
    <t>Toth, nested flow, recharge/discharge areas</t>
  </si>
  <si>
    <t>assumptions, radial flow, drawdown</t>
  </si>
  <si>
    <t>test design/interpretation, boundaries, well interference</t>
  </si>
  <si>
    <t>vadose zone, soil moisture</t>
  </si>
  <si>
    <t>recharge and SW/GW</t>
  </si>
  <si>
    <t>sustainability</t>
  </si>
  <si>
    <t>climate change and groundwater</t>
  </si>
  <si>
    <t>water budget, water law, equilibrium</t>
  </si>
  <si>
    <t>conjunctive use, MAR, ABQ case study</t>
  </si>
  <si>
    <t>current state of groundwater globally and in NM</t>
  </si>
  <si>
    <t>30 min review before exam</t>
  </si>
  <si>
    <t>mid-term exam</t>
  </si>
  <si>
    <t>final exam</t>
  </si>
  <si>
    <t xml:space="preserve">Regional groundwater flow, flow to wells </t>
  </si>
  <si>
    <t>carbonate equilibrium, redox</t>
  </si>
  <si>
    <t>major ion chemistry and isotope hydrology</t>
  </si>
  <si>
    <t>mass transport (diffusion, advection)</t>
  </si>
  <si>
    <t>remediation, capture zones</t>
  </si>
  <si>
    <t>water quality, sources of contamination, types of contaminants</t>
  </si>
  <si>
    <t>mass transport (dispersion, retardation, ADE)</t>
  </si>
  <si>
    <t>well installation, testing, and monitoring. Geophysics</t>
  </si>
  <si>
    <t>analytical solutions and AEMs</t>
  </si>
  <si>
    <t>Field Characterization, AEM</t>
  </si>
  <si>
    <t xml:space="preserve">numerical methods, codes, </t>
  </si>
  <si>
    <t>optional homework/readings</t>
  </si>
  <si>
    <t>review for exam, feedback etc</t>
  </si>
  <si>
    <t>participation</t>
  </si>
  <si>
    <t>can bring calc, sheet of eqns, units</t>
  </si>
  <si>
    <t>eqns given, take best 7</t>
  </si>
  <si>
    <t>quiz every Monday (or Tuesday)</t>
  </si>
  <si>
    <t>bring your questions or we leave</t>
  </si>
  <si>
    <t>intro, water cycle</t>
  </si>
  <si>
    <t>props of fluids, water, aquifers</t>
  </si>
  <si>
    <t>fall break</t>
  </si>
  <si>
    <t>cancel class</t>
  </si>
  <si>
    <t>review for exam</t>
  </si>
  <si>
    <t>no class</t>
  </si>
  <si>
    <t>exam</t>
  </si>
  <si>
    <t>guest lecture</t>
  </si>
  <si>
    <t>well testing</t>
  </si>
  <si>
    <t>carbonates</t>
  </si>
  <si>
    <t>ion chemistry and isotopes</t>
  </si>
  <si>
    <t>brett</t>
  </si>
  <si>
    <t>laura</t>
  </si>
  <si>
    <t>bryn</t>
  </si>
  <si>
    <t>thanksgiving</t>
  </si>
  <si>
    <t>Intro to groundwater and hydrogeology and water cycle, Properties of fluids, water, and aquifers</t>
  </si>
  <si>
    <t>vadose/soil/recharge/sw/gw</t>
  </si>
  <si>
    <t xml:space="preserve"> exam, break</t>
  </si>
  <si>
    <t>Hydrochemistry</t>
  </si>
  <si>
    <t>numerical Modeling, gw development and mgmt</t>
  </si>
  <si>
    <t>climate change, review</t>
  </si>
  <si>
    <t>EPS 423 Physical Hydrology Schedule (subject to change)</t>
  </si>
  <si>
    <t>Date</t>
  </si>
  <si>
    <t>Topic</t>
  </si>
  <si>
    <t>Reading</t>
  </si>
  <si>
    <t>Due dates</t>
  </si>
  <si>
    <t>Tue</t>
  </si>
  <si>
    <t>Thur</t>
  </si>
  <si>
    <t>?</t>
  </si>
  <si>
    <t>No class, Fall Break</t>
  </si>
  <si>
    <t>Exam #1</t>
  </si>
  <si>
    <t>No class, Thanksgiving holiday</t>
  </si>
  <si>
    <t>Snow and snowmelt processes</t>
  </si>
  <si>
    <t>Ch. 2</t>
  </si>
  <si>
    <t>Ch. 3</t>
  </si>
  <si>
    <t>Ch. 4</t>
  </si>
  <si>
    <t>Ch. 7</t>
  </si>
  <si>
    <t>Ch. 9</t>
  </si>
  <si>
    <t>Review</t>
  </si>
  <si>
    <t>Notes</t>
  </si>
  <si>
    <t>Comprehensive Exam</t>
  </si>
  <si>
    <t>lecture structure</t>
  </si>
  <si>
    <t>process description/conceptualization</t>
  </si>
  <si>
    <t>mathematical approaches</t>
  </si>
  <si>
    <t>example in literature</t>
  </si>
  <si>
    <t>sources of uncertainty</t>
  </si>
  <si>
    <t>where can I get the data?</t>
  </si>
  <si>
    <t>Gerhard Schoener</t>
  </si>
  <si>
    <t>Alex Webster</t>
  </si>
  <si>
    <t>Dave Moeser</t>
  </si>
  <si>
    <t>Group presentations</t>
  </si>
  <si>
    <t>Group presentations and exam review</t>
  </si>
  <si>
    <t>Climate change impacts to hydrology</t>
  </si>
  <si>
    <t>Water Resources Management</t>
  </si>
  <si>
    <t>Group work on term project</t>
  </si>
  <si>
    <t>(optional) Group work on term project</t>
  </si>
  <si>
    <t>Projet reports due</t>
  </si>
  <si>
    <t>Precipitation</t>
  </si>
  <si>
    <t>Ch. 1,2</t>
  </si>
  <si>
    <t>Ch. 5</t>
  </si>
  <si>
    <t>Ch. 6</t>
  </si>
  <si>
    <t>Ch. 8</t>
  </si>
  <si>
    <t>Ch.2.9, 9.5-6</t>
  </si>
  <si>
    <t>Ch. 10</t>
  </si>
  <si>
    <t>HW1</t>
  </si>
  <si>
    <t>HW 2</t>
  </si>
  <si>
    <t>HW 3</t>
  </si>
  <si>
    <t>HW 4</t>
  </si>
  <si>
    <t>HW 5</t>
  </si>
  <si>
    <t>HW 6</t>
  </si>
  <si>
    <t>Vadoze Zone</t>
  </si>
  <si>
    <t>Groundwater</t>
  </si>
  <si>
    <t>Hydrologic Modeling</t>
  </si>
  <si>
    <t>Streamflow</t>
  </si>
  <si>
    <t>Evapo(transpir)ation</t>
  </si>
  <si>
    <t>Climate System</t>
  </si>
  <si>
    <t>Hydrologic Concepts</t>
  </si>
  <si>
    <t>Introduction</t>
  </si>
  <si>
    <t>Lab</t>
  </si>
  <si>
    <t>Bring your laptop, with python and miniforge installed</t>
  </si>
  <si>
    <t>HW 7</t>
  </si>
  <si>
    <t>HW 8</t>
  </si>
  <si>
    <t>HW 9</t>
  </si>
  <si>
    <t>HW 10</t>
  </si>
  <si>
    <t>python tutorial</t>
  </si>
  <si>
    <t>Marcy Litvak</t>
  </si>
  <si>
    <t>download/visualize precip data and do areal estimation</t>
  </si>
  <si>
    <t>download/access snotel and then go through exercise of melting a mountain snowpack</t>
  </si>
  <si>
    <t>download dem and do watershed delineation in python</t>
  </si>
  <si>
    <t>download climate variables and compare different ET estimates</t>
  </si>
  <si>
    <t>no lab</t>
  </si>
  <si>
    <t>no lab, Aidan out</t>
  </si>
  <si>
    <t>download/plot usgs streamflow data for mutliple climate/land use types, do baseflow separation</t>
  </si>
  <si>
    <t xml:space="preserve">green ampt </t>
  </si>
  <si>
    <t>parflow sandbox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</si>
</sst>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1">
    <xf numFmtId="0" fontId="0" fillId="0" borderId="0" xfId="0"/>
    <xf numFmtId="164" fontId="0" fillId="0" borderId="0" xfId="0" applyNumberFormat="1"/>
    <xf numFmtId="0" fontId="2" fillId="3" borderId="0" xfId="2"/>
    <xf numFmtId="0" fontId="1" fillId="2" borderId="0" xfId="1"/>
    <xf numFmtId="0" fontId="3" fillId="4" borderId="0" xfId="3"/>
    <xf numFmtId="0" fontId="0" fillId="0" borderId="1" xfId="0" applyBorder="1" applyAlignment="1">
      <alignment horizontal="left"/>
    </xf>
    <xf numFmtId="16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A4090-3524-4394-A2D1-A42E3CC53015}">
  <dimension ref="A1:N27"/>
  <sheetViews>
    <sheetView workbookViewId="0">
      <selection activeCell="G26" sqref="G26"/>
    </sheetView>
  </sheetViews>
  <sheetFormatPr baseColWidth="10" defaultColWidth="8.83203125" defaultRowHeight="15" x14ac:dyDescent="0.2"/>
  <cols>
    <col min="1" max="1" width="29" bestFit="1" customWidth="1"/>
    <col min="2" max="2" width="54.6640625" bestFit="1" customWidth="1"/>
    <col min="3" max="3" width="45" bestFit="1" customWidth="1"/>
    <col min="12" max="12" width="11.5" bestFit="1" customWidth="1"/>
    <col min="13" max="13" width="23.1640625" bestFit="1" customWidth="1"/>
  </cols>
  <sheetData>
    <row r="1" spans="1:14" x14ac:dyDescent="0.2">
      <c r="A1" t="s">
        <v>0</v>
      </c>
    </row>
    <row r="2" spans="1:14" x14ac:dyDescent="0.2">
      <c r="B2" t="s">
        <v>2</v>
      </c>
      <c r="C2" t="s">
        <v>3</v>
      </c>
      <c r="D2" t="s">
        <v>1</v>
      </c>
    </row>
    <row r="3" spans="1:14" x14ac:dyDescent="0.2">
      <c r="A3" s="1">
        <v>45887</v>
      </c>
      <c r="B3" t="s">
        <v>42</v>
      </c>
      <c r="C3" t="s">
        <v>43</v>
      </c>
      <c r="D3" t="s">
        <v>57</v>
      </c>
    </row>
    <row r="4" spans="1:14" x14ac:dyDescent="0.2">
      <c r="A4" s="1">
        <f>A3+7</f>
        <v>45894</v>
      </c>
      <c r="B4" t="s">
        <v>7</v>
      </c>
      <c r="C4" t="s">
        <v>8</v>
      </c>
      <c r="D4" t="s">
        <v>4</v>
      </c>
    </row>
    <row r="5" spans="1:14" x14ac:dyDescent="0.2">
      <c r="A5" s="1">
        <f t="shared" ref="A5:A19" si="0">A4+7</f>
        <v>45901</v>
      </c>
      <c r="B5" t="s">
        <v>9</v>
      </c>
      <c r="C5" t="s">
        <v>10</v>
      </c>
      <c r="D5" t="s">
        <v>4</v>
      </c>
    </row>
    <row r="6" spans="1:14" x14ac:dyDescent="0.2">
      <c r="A6" s="1">
        <f t="shared" si="0"/>
        <v>45908</v>
      </c>
      <c r="B6" t="s">
        <v>11</v>
      </c>
      <c r="C6" t="s">
        <v>12</v>
      </c>
      <c r="D6" t="s">
        <v>24</v>
      </c>
    </row>
    <row r="7" spans="1:14" x14ac:dyDescent="0.2">
      <c r="A7" s="1">
        <f t="shared" si="0"/>
        <v>45915</v>
      </c>
      <c r="B7" s="4" t="s">
        <v>13</v>
      </c>
      <c r="C7" s="3" t="s">
        <v>45</v>
      </c>
    </row>
    <row r="8" spans="1:14" x14ac:dyDescent="0.2">
      <c r="A8" s="1">
        <f t="shared" si="0"/>
        <v>45922</v>
      </c>
      <c r="B8" t="s">
        <v>14</v>
      </c>
      <c r="C8" t="s">
        <v>15</v>
      </c>
      <c r="D8" t="s">
        <v>58</v>
      </c>
    </row>
    <row r="9" spans="1:14" x14ac:dyDescent="0.2">
      <c r="A9" s="1">
        <f t="shared" si="0"/>
        <v>45929</v>
      </c>
      <c r="B9" t="s">
        <v>6</v>
      </c>
      <c r="C9" t="s">
        <v>46</v>
      </c>
      <c r="D9" t="s">
        <v>6</v>
      </c>
    </row>
    <row r="10" spans="1:14" x14ac:dyDescent="0.2">
      <c r="A10" s="1">
        <f t="shared" si="0"/>
        <v>45936</v>
      </c>
      <c r="B10" s="2" t="s">
        <v>22</v>
      </c>
      <c r="C10" s="3" t="s">
        <v>44</v>
      </c>
      <c r="D10" t="s">
        <v>59</v>
      </c>
    </row>
    <row r="11" spans="1:14" x14ac:dyDescent="0.2">
      <c r="A11" s="1">
        <f t="shared" si="0"/>
        <v>45943</v>
      </c>
      <c r="B11" s="4" t="s">
        <v>25</v>
      </c>
      <c r="C11" s="4" t="s">
        <v>26</v>
      </c>
      <c r="D11" t="s">
        <v>60</v>
      </c>
    </row>
    <row r="12" spans="1:14" x14ac:dyDescent="0.2">
      <c r="A12" s="1">
        <f t="shared" si="0"/>
        <v>45950</v>
      </c>
      <c r="B12" t="s">
        <v>29</v>
      </c>
      <c r="C12" t="s">
        <v>27</v>
      </c>
      <c r="D12" t="s">
        <v>5</v>
      </c>
      <c r="L12" s="3" t="s">
        <v>47</v>
      </c>
    </row>
    <row r="13" spans="1:14" x14ac:dyDescent="0.2">
      <c r="A13" s="1">
        <f t="shared" si="0"/>
        <v>45957</v>
      </c>
      <c r="B13" t="s">
        <v>30</v>
      </c>
      <c r="C13" t="s">
        <v>28</v>
      </c>
      <c r="D13" t="s">
        <v>5</v>
      </c>
      <c r="L13" s="2" t="s">
        <v>48</v>
      </c>
    </row>
    <row r="14" spans="1:14" x14ac:dyDescent="0.2">
      <c r="A14" s="1">
        <f t="shared" si="0"/>
        <v>45964</v>
      </c>
      <c r="B14" t="s">
        <v>31</v>
      </c>
      <c r="C14" t="s">
        <v>32</v>
      </c>
      <c r="D14" t="s">
        <v>33</v>
      </c>
      <c r="L14" s="4" t="s">
        <v>49</v>
      </c>
      <c r="M14" t="s">
        <v>50</v>
      </c>
      <c r="N14" t="s">
        <v>53</v>
      </c>
    </row>
    <row r="15" spans="1:14" x14ac:dyDescent="0.2">
      <c r="A15" s="1">
        <f t="shared" si="0"/>
        <v>45971</v>
      </c>
      <c r="B15" t="s">
        <v>34</v>
      </c>
      <c r="C15" t="s">
        <v>18</v>
      </c>
      <c r="D15" t="s">
        <v>61</v>
      </c>
      <c r="M15" t="s">
        <v>51</v>
      </c>
      <c r="N15" t="s">
        <v>54</v>
      </c>
    </row>
    <row r="16" spans="1:14" x14ac:dyDescent="0.2">
      <c r="A16" s="1">
        <f t="shared" si="0"/>
        <v>45978</v>
      </c>
      <c r="B16" t="s">
        <v>19</v>
      </c>
      <c r="C16" t="s">
        <v>20</v>
      </c>
      <c r="D16" t="s">
        <v>16</v>
      </c>
      <c r="M16" t="s">
        <v>52</v>
      </c>
      <c r="N16" t="s">
        <v>55</v>
      </c>
    </row>
    <row r="17" spans="1:4" x14ac:dyDescent="0.2">
      <c r="A17" s="1">
        <f t="shared" si="0"/>
        <v>45985</v>
      </c>
      <c r="B17" s="3" t="s">
        <v>56</v>
      </c>
      <c r="C17" s="3" t="s">
        <v>56</v>
      </c>
    </row>
    <row r="18" spans="1:4" x14ac:dyDescent="0.2">
      <c r="A18" s="1">
        <f t="shared" si="0"/>
        <v>45992</v>
      </c>
      <c r="B18" t="s">
        <v>17</v>
      </c>
      <c r="C18" t="s">
        <v>36</v>
      </c>
      <c r="D18" t="s">
        <v>62</v>
      </c>
    </row>
    <row r="19" spans="1:4" x14ac:dyDescent="0.2">
      <c r="A19" s="1">
        <f t="shared" si="0"/>
        <v>45999</v>
      </c>
      <c r="B19" s="2" t="s">
        <v>23</v>
      </c>
    </row>
    <row r="20" spans="1:4" x14ac:dyDescent="0.2">
      <c r="A20" s="1"/>
    </row>
    <row r="22" spans="1:4" x14ac:dyDescent="0.2">
      <c r="A22" t="s">
        <v>35</v>
      </c>
    </row>
    <row r="23" spans="1:4" x14ac:dyDescent="0.2">
      <c r="A23" t="s">
        <v>40</v>
      </c>
      <c r="B23">
        <v>20</v>
      </c>
      <c r="C23" t="s">
        <v>39</v>
      </c>
    </row>
    <row r="24" spans="1:4" x14ac:dyDescent="0.2">
      <c r="A24" t="s">
        <v>21</v>
      </c>
      <c r="B24" t="s">
        <v>41</v>
      </c>
    </row>
    <row r="25" spans="1:4" x14ac:dyDescent="0.2">
      <c r="A25" t="s">
        <v>22</v>
      </c>
      <c r="B25">
        <v>20</v>
      </c>
      <c r="C25" t="s">
        <v>38</v>
      </c>
    </row>
    <row r="26" spans="1:4" x14ac:dyDescent="0.2">
      <c r="A26" t="s">
        <v>23</v>
      </c>
      <c r="B26">
        <v>20</v>
      </c>
      <c r="C26" t="s">
        <v>38</v>
      </c>
    </row>
    <row r="27" spans="1:4" x14ac:dyDescent="0.2">
      <c r="A27" t="s">
        <v>37</v>
      </c>
      <c r="B27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B2E5E-5869-4D06-9D16-D53FC2695F61}">
  <dimension ref="A1:G51"/>
  <sheetViews>
    <sheetView tabSelected="1" workbookViewId="0">
      <selection activeCell="D29" sqref="D29"/>
    </sheetView>
  </sheetViews>
  <sheetFormatPr baseColWidth="10" defaultColWidth="8.83203125" defaultRowHeight="15" x14ac:dyDescent="0.2"/>
  <cols>
    <col min="1" max="1" width="6.6640625" customWidth="1"/>
    <col min="2" max="2" width="6.83203125" customWidth="1"/>
    <col min="3" max="3" width="32.6640625" bestFit="1" customWidth="1"/>
    <col min="4" max="4" width="10.6640625" bestFit="1" customWidth="1"/>
    <col min="5" max="5" width="18" bestFit="1" customWidth="1"/>
    <col min="6" max="6" width="75.33203125" bestFit="1" customWidth="1"/>
  </cols>
  <sheetData>
    <row r="1" spans="1:7" x14ac:dyDescent="0.2">
      <c r="A1" s="8" t="s">
        <v>63</v>
      </c>
      <c r="B1" s="9"/>
      <c r="C1" s="9"/>
      <c r="D1" s="9"/>
      <c r="E1" s="10"/>
      <c r="F1" s="7"/>
    </row>
    <row r="2" spans="1:7" x14ac:dyDescent="0.2">
      <c r="A2" s="5" t="s">
        <v>64</v>
      </c>
      <c r="B2" s="5"/>
      <c r="C2" s="5" t="s">
        <v>65</v>
      </c>
      <c r="D2" s="5" t="s">
        <v>66</v>
      </c>
      <c r="E2" s="5" t="s">
        <v>67</v>
      </c>
      <c r="F2" s="7" t="s">
        <v>120</v>
      </c>
      <c r="G2" t="s">
        <v>81</v>
      </c>
    </row>
    <row r="3" spans="1:7" x14ac:dyDescent="0.2">
      <c r="A3" s="6">
        <v>45888</v>
      </c>
      <c r="B3" s="5" t="s">
        <v>68</v>
      </c>
      <c r="C3" s="5" t="s">
        <v>119</v>
      </c>
      <c r="D3" s="5" t="s">
        <v>100</v>
      </c>
      <c r="E3" s="5"/>
      <c r="F3" s="7"/>
    </row>
    <row r="4" spans="1:7" x14ac:dyDescent="0.2">
      <c r="A4" s="6">
        <f>A3+2</f>
        <v>45890</v>
      </c>
      <c r="B4" s="5" t="s">
        <v>69</v>
      </c>
      <c r="C4" s="5" t="s">
        <v>118</v>
      </c>
      <c r="D4" s="5" t="s">
        <v>75</v>
      </c>
      <c r="E4" s="5"/>
      <c r="F4" s="5" t="s">
        <v>126</v>
      </c>
      <c r="G4" t="s">
        <v>121</v>
      </c>
    </row>
    <row r="5" spans="1:7" x14ac:dyDescent="0.2">
      <c r="A5" s="5"/>
      <c r="B5" s="5"/>
      <c r="C5" s="5"/>
      <c r="D5" s="5"/>
      <c r="E5" s="5"/>
      <c r="F5" s="7"/>
    </row>
    <row r="6" spans="1:7" x14ac:dyDescent="0.2">
      <c r="A6" s="6">
        <v>45895</v>
      </c>
      <c r="B6" s="5" t="s">
        <v>68</v>
      </c>
      <c r="C6" s="5" t="s">
        <v>117</v>
      </c>
      <c r="D6" s="5" t="s">
        <v>76</v>
      </c>
      <c r="E6" s="5"/>
      <c r="F6" s="7"/>
    </row>
    <row r="7" spans="1:7" x14ac:dyDescent="0.2">
      <c r="A7" s="6">
        <v>45897</v>
      </c>
      <c r="B7" s="5" t="s">
        <v>69</v>
      </c>
      <c r="C7" s="5" t="s">
        <v>117</v>
      </c>
      <c r="D7" s="5" t="s">
        <v>76</v>
      </c>
      <c r="E7" s="5"/>
      <c r="F7" s="7" t="s">
        <v>130</v>
      </c>
    </row>
    <row r="8" spans="1:7" x14ac:dyDescent="0.2">
      <c r="A8" s="5"/>
      <c r="B8" s="5"/>
      <c r="C8" s="5"/>
      <c r="D8" s="5"/>
      <c r="E8" s="5"/>
      <c r="F8" s="7"/>
    </row>
    <row r="9" spans="1:7" x14ac:dyDescent="0.2">
      <c r="A9" s="6">
        <v>45902</v>
      </c>
      <c r="B9" s="5" t="s">
        <v>68</v>
      </c>
      <c r="C9" s="5" t="s">
        <v>99</v>
      </c>
      <c r="D9" s="5" t="s">
        <v>77</v>
      </c>
      <c r="E9" s="5" t="s">
        <v>106</v>
      </c>
      <c r="F9" s="7"/>
    </row>
    <row r="10" spans="1:7" x14ac:dyDescent="0.2">
      <c r="A10" s="6">
        <v>45904</v>
      </c>
      <c r="B10" s="5" t="s">
        <v>69</v>
      </c>
      <c r="C10" s="5" t="s">
        <v>99</v>
      </c>
      <c r="D10" s="5" t="s">
        <v>77</v>
      </c>
      <c r="E10" s="5"/>
      <c r="F10" s="7" t="s">
        <v>128</v>
      </c>
    </row>
    <row r="11" spans="1:7" x14ac:dyDescent="0.2">
      <c r="A11" s="5"/>
      <c r="B11" s="5"/>
      <c r="C11" s="5"/>
      <c r="D11" s="5"/>
      <c r="E11" s="5"/>
      <c r="F11" s="7"/>
    </row>
    <row r="12" spans="1:7" x14ac:dyDescent="0.2">
      <c r="A12" s="6">
        <v>45909</v>
      </c>
      <c r="B12" s="5" t="s">
        <v>68</v>
      </c>
      <c r="C12" s="5" t="s">
        <v>74</v>
      </c>
      <c r="D12" s="5" t="s">
        <v>101</v>
      </c>
      <c r="E12" s="5" t="s">
        <v>107</v>
      </c>
      <c r="F12" s="7"/>
      <c r="G12" t="s">
        <v>91</v>
      </c>
    </row>
    <row r="13" spans="1:7" x14ac:dyDescent="0.2">
      <c r="A13" s="6">
        <v>45911</v>
      </c>
      <c r="B13" s="5" t="s">
        <v>69</v>
      </c>
      <c r="C13" s="5" t="s">
        <v>116</v>
      </c>
      <c r="D13" s="5" t="s">
        <v>78</v>
      </c>
      <c r="E13" s="5"/>
      <c r="F13" s="7" t="s">
        <v>129</v>
      </c>
    </row>
    <row r="14" spans="1:7" x14ac:dyDescent="0.2">
      <c r="A14" s="5"/>
      <c r="B14" s="5"/>
      <c r="C14" s="5"/>
      <c r="D14" s="5"/>
      <c r="E14" s="5"/>
      <c r="F14" s="7"/>
    </row>
    <row r="15" spans="1:7" x14ac:dyDescent="0.2">
      <c r="A15" s="6">
        <v>45916</v>
      </c>
      <c r="B15" s="5" t="s">
        <v>68</v>
      </c>
      <c r="C15" s="5" t="s">
        <v>116</v>
      </c>
      <c r="D15" s="5" t="s">
        <v>78</v>
      </c>
      <c r="E15" s="5" t="s">
        <v>108</v>
      </c>
      <c r="F15" s="7"/>
    </row>
    <row r="16" spans="1:7" x14ac:dyDescent="0.2">
      <c r="A16" s="6">
        <v>45918</v>
      </c>
      <c r="B16" s="5" t="s">
        <v>69</v>
      </c>
      <c r="C16" s="5" t="s">
        <v>116</v>
      </c>
      <c r="D16" s="5" t="s">
        <v>78</v>
      </c>
      <c r="E16" s="5"/>
      <c r="F16" s="7" t="s">
        <v>131</v>
      </c>
      <c r="G16" s="7" t="s">
        <v>127</v>
      </c>
    </row>
    <row r="17" spans="1:7" x14ac:dyDescent="0.2">
      <c r="A17" s="5"/>
      <c r="B17" s="5"/>
      <c r="C17" s="5"/>
      <c r="D17" s="5"/>
      <c r="E17" s="5"/>
      <c r="F17" s="7"/>
    </row>
    <row r="18" spans="1:7" x14ac:dyDescent="0.2">
      <c r="A18" s="6">
        <v>45923</v>
      </c>
      <c r="B18" s="5" t="s">
        <v>68</v>
      </c>
      <c r="C18" s="5" t="s">
        <v>115</v>
      </c>
      <c r="D18" s="5" t="s">
        <v>79</v>
      </c>
      <c r="E18" s="5" t="s">
        <v>109</v>
      </c>
      <c r="F18" s="7"/>
    </row>
    <row r="19" spans="1:7" x14ac:dyDescent="0.2">
      <c r="A19" s="6">
        <v>45925</v>
      </c>
      <c r="B19" s="5" t="s">
        <v>69</v>
      </c>
      <c r="C19" s="5" t="s">
        <v>115</v>
      </c>
      <c r="D19" s="5" t="s">
        <v>79</v>
      </c>
      <c r="E19" s="5"/>
      <c r="F19" s="7" t="s">
        <v>133</v>
      </c>
      <c r="G19" t="s">
        <v>90</v>
      </c>
    </row>
    <row r="20" spans="1:7" x14ac:dyDescent="0.2">
      <c r="A20" s="5"/>
      <c r="B20" s="5"/>
      <c r="C20" s="5"/>
      <c r="D20" s="5"/>
      <c r="E20" s="5"/>
      <c r="F20" s="7"/>
    </row>
    <row r="21" spans="1:7" x14ac:dyDescent="0.2">
      <c r="A21" s="6">
        <v>45930</v>
      </c>
      <c r="B21" s="5" t="s">
        <v>68</v>
      </c>
      <c r="C21" s="5" t="s">
        <v>115</v>
      </c>
      <c r="D21" s="5" t="s">
        <v>79</v>
      </c>
      <c r="E21" s="5" t="s">
        <v>110</v>
      </c>
      <c r="F21" s="7"/>
    </row>
    <row r="22" spans="1:7" x14ac:dyDescent="0.2">
      <c r="A22" s="6">
        <v>45932</v>
      </c>
      <c r="B22" s="5" t="s">
        <v>69</v>
      </c>
      <c r="C22" s="5" t="s">
        <v>80</v>
      </c>
      <c r="D22" s="5"/>
      <c r="E22" s="5"/>
      <c r="F22" s="7" t="s">
        <v>134</v>
      </c>
    </row>
    <row r="23" spans="1:7" x14ac:dyDescent="0.2">
      <c r="A23" s="5"/>
      <c r="B23" s="5"/>
      <c r="C23" s="5"/>
      <c r="D23" s="5"/>
      <c r="E23" s="5"/>
      <c r="F23" s="7"/>
    </row>
    <row r="24" spans="1:7" x14ac:dyDescent="0.2">
      <c r="A24" s="6">
        <v>45937</v>
      </c>
      <c r="B24" s="5" t="s">
        <v>68</v>
      </c>
      <c r="C24" s="5" t="s">
        <v>72</v>
      </c>
      <c r="D24" s="5"/>
      <c r="E24" s="5"/>
      <c r="F24" s="7"/>
    </row>
    <row r="25" spans="1:7" x14ac:dyDescent="0.2">
      <c r="A25" s="6">
        <v>45939</v>
      </c>
      <c r="B25" s="5" t="s">
        <v>69</v>
      </c>
      <c r="C25" s="5" t="s">
        <v>71</v>
      </c>
      <c r="D25" s="5"/>
      <c r="E25" s="5"/>
      <c r="F25" s="7" t="s">
        <v>132</v>
      </c>
    </row>
    <row r="26" spans="1:7" x14ac:dyDescent="0.2">
      <c r="A26" s="5"/>
      <c r="B26" s="5"/>
      <c r="C26" s="5"/>
      <c r="D26" s="5"/>
      <c r="E26" s="5"/>
      <c r="F26" s="7"/>
    </row>
    <row r="27" spans="1:7" x14ac:dyDescent="0.2">
      <c r="A27" s="6">
        <v>45944</v>
      </c>
      <c r="B27" s="5" t="s">
        <v>68</v>
      </c>
      <c r="C27" s="5" t="s">
        <v>112</v>
      </c>
      <c r="D27" s="5" t="s">
        <v>102</v>
      </c>
      <c r="E27" s="5"/>
      <c r="F27" s="7"/>
    </row>
    <row r="28" spans="1:7" x14ac:dyDescent="0.2">
      <c r="A28" s="6">
        <v>45946</v>
      </c>
      <c r="B28" s="5" t="s">
        <v>69</v>
      </c>
      <c r="C28" s="5" t="s">
        <v>112</v>
      </c>
      <c r="D28" s="5" t="s">
        <v>102</v>
      </c>
      <c r="E28" s="5"/>
      <c r="F28" s="7" t="s">
        <v>135</v>
      </c>
      <c r="G28" t="s">
        <v>89</v>
      </c>
    </row>
    <row r="29" spans="1:7" x14ac:dyDescent="0.2">
      <c r="A29" s="5"/>
      <c r="B29" s="5"/>
      <c r="C29" s="5"/>
      <c r="D29" s="5"/>
      <c r="E29" s="5"/>
      <c r="F29" s="7"/>
    </row>
    <row r="30" spans="1:7" x14ac:dyDescent="0.2">
      <c r="A30" s="6">
        <v>45951</v>
      </c>
      <c r="B30" s="5" t="s">
        <v>68</v>
      </c>
      <c r="C30" s="5" t="s">
        <v>113</v>
      </c>
      <c r="D30" s="5" t="s">
        <v>103</v>
      </c>
      <c r="E30" s="5" t="s">
        <v>111</v>
      </c>
      <c r="F30" s="7"/>
    </row>
    <row r="31" spans="1:7" x14ac:dyDescent="0.2">
      <c r="A31" s="6">
        <v>45953</v>
      </c>
      <c r="B31" s="5" t="s">
        <v>69</v>
      </c>
      <c r="C31" s="5" t="s">
        <v>113</v>
      </c>
      <c r="D31" s="5" t="s">
        <v>103</v>
      </c>
      <c r="E31" s="5"/>
      <c r="F31" s="7" t="s">
        <v>136</v>
      </c>
    </row>
    <row r="32" spans="1:7" x14ac:dyDescent="0.2">
      <c r="A32" s="5"/>
      <c r="B32" s="5"/>
      <c r="C32" s="5"/>
      <c r="D32" s="5"/>
      <c r="E32" s="5"/>
      <c r="F32" s="7"/>
    </row>
    <row r="33" spans="1:6" x14ac:dyDescent="0.2">
      <c r="A33" s="6">
        <v>45958</v>
      </c>
      <c r="B33" s="5" t="s">
        <v>68</v>
      </c>
      <c r="C33" s="5" t="s">
        <v>113</v>
      </c>
      <c r="D33" s="5" t="s">
        <v>103</v>
      </c>
      <c r="E33" s="5" t="s">
        <v>122</v>
      </c>
      <c r="F33" s="7"/>
    </row>
    <row r="34" spans="1:6" x14ac:dyDescent="0.2">
      <c r="A34" s="6">
        <v>45960</v>
      </c>
      <c r="B34" s="5" t="s">
        <v>69</v>
      </c>
      <c r="C34" s="5" t="s">
        <v>113</v>
      </c>
      <c r="D34" s="5" t="s">
        <v>103</v>
      </c>
      <c r="E34" s="5"/>
      <c r="F34" s="7"/>
    </row>
    <row r="35" spans="1:6" x14ac:dyDescent="0.2">
      <c r="A35" s="5"/>
      <c r="B35" s="5"/>
      <c r="C35" s="5"/>
      <c r="D35" s="5"/>
      <c r="E35" s="5"/>
      <c r="F35" s="7"/>
    </row>
    <row r="36" spans="1:6" x14ac:dyDescent="0.2">
      <c r="A36" s="6">
        <v>45965</v>
      </c>
      <c r="B36" s="5" t="s">
        <v>68</v>
      </c>
      <c r="C36" s="5" t="s">
        <v>114</v>
      </c>
      <c r="D36" s="5" t="s">
        <v>104</v>
      </c>
      <c r="E36" s="5" t="s">
        <v>123</v>
      </c>
      <c r="F36" s="7"/>
    </row>
    <row r="37" spans="1:6" x14ac:dyDescent="0.2">
      <c r="A37" s="6">
        <v>45967</v>
      </c>
      <c r="B37" s="5" t="s">
        <v>69</v>
      </c>
      <c r="C37" s="5" t="s">
        <v>114</v>
      </c>
      <c r="D37" s="5"/>
      <c r="E37" s="5"/>
      <c r="F37" s="7"/>
    </row>
    <row r="38" spans="1:6" x14ac:dyDescent="0.2">
      <c r="A38" s="5"/>
      <c r="B38" s="5"/>
      <c r="C38" s="5"/>
      <c r="D38" s="5"/>
      <c r="E38" s="5"/>
      <c r="F38" s="7"/>
    </row>
    <row r="39" spans="1:6" x14ac:dyDescent="0.2">
      <c r="A39" s="6">
        <v>45972</v>
      </c>
      <c r="B39" s="5" t="s">
        <v>68</v>
      </c>
      <c r="C39" s="5" t="s">
        <v>94</v>
      </c>
      <c r="D39" s="5"/>
      <c r="E39" s="5" t="s">
        <v>124</v>
      </c>
      <c r="F39" s="7"/>
    </row>
    <row r="40" spans="1:6" x14ac:dyDescent="0.2">
      <c r="A40" s="6">
        <v>45974</v>
      </c>
      <c r="B40" s="5" t="s">
        <v>69</v>
      </c>
      <c r="C40" s="5" t="s">
        <v>95</v>
      </c>
      <c r="D40" s="5" t="s">
        <v>105</v>
      </c>
      <c r="E40" s="5"/>
      <c r="F40" s="7"/>
    </row>
    <row r="41" spans="1:6" x14ac:dyDescent="0.2">
      <c r="A41" s="5"/>
      <c r="B41" s="5"/>
      <c r="C41" s="5"/>
      <c r="D41" s="5"/>
      <c r="E41" s="5"/>
      <c r="F41" s="7"/>
    </row>
    <row r="42" spans="1:6" x14ac:dyDescent="0.2">
      <c r="A42" s="6">
        <v>45979</v>
      </c>
      <c r="B42" s="5" t="s">
        <v>68</v>
      </c>
      <c r="C42" s="5" t="s">
        <v>95</v>
      </c>
      <c r="D42" s="5" t="s">
        <v>105</v>
      </c>
      <c r="E42" s="5" t="s">
        <v>125</v>
      </c>
      <c r="F42" s="7"/>
    </row>
    <row r="43" spans="1:6" x14ac:dyDescent="0.2">
      <c r="A43" s="6">
        <v>45981</v>
      </c>
      <c r="B43" s="5" t="s">
        <v>69</v>
      </c>
      <c r="C43" s="5" t="s">
        <v>96</v>
      </c>
      <c r="D43" s="5"/>
      <c r="E43" s="5"/>
      <c r="F43" s="7"/>
    </row>
    <row r="44" spans="1:6" x14ac:dyDescent="0.2">
      <c r="A44" s="5"/>
      <c r="B44" s="5"/>
      <c r="C44" s="5"/>
      <c r="D44" s="5"/>
      <c r="E44" s="5"/>
      <c r="F44" s="7"/>
    </row>
    <row r="45" spans="1:6" x14ac:dyDescent="0.2">
      <c r="A45" s="6">
        <v>45986</v>
      </c>
      <c r="B45" s="5" t="s">
        <v>68</v>
      </c>
      <c r="C45" s="5" t="s">
        <v>97</v>
      </c>
      <c r="D45" s="5"/>
      <c r="E45" s="5"/>
      <c r="F45" s="7"/>
    </row>
    <row r="46" spans="1:6" x14ac:dyDescent="0.2">
      <c r="A46" s="6">
        <v>45988</v>
      </c>
      <c r="B46" s="5" t="s">
        <v>69</v>
      </c>
      <c r="C46" s="5" t="s">
        <v>73</v>
      </c>
      <c r="D46" s="5"/>
      <c r="E46" s="5"/>
      <c r="F46" s="7"/>
    </row>
    <row r="47" spans="1:6" x14ac:dyDescent="0.2">
      <c r="A47" s="5"/>
      <c r="B47" s="5"/>
      <c r="C47" s="5"/>
      <c r="D47" s="5"/>
      <c r="E47" s="5"/>
      <c r="F47" s="7"/>
    </row>
    <row r="48" spans="1:6" x14ac:dyDescent="0.2">
      <c r="A48" s="6">
        <v>45993</v>
      </c>
      <c r="B48" s="5" t="s">
        <v>68</v>
      </c>
      <c r="C48" s="5" t="s">
        <v>92</v>
      </c>
      <c r="D48" s="5"/>
      <c r="E48" s="5"/>
      <c r="F48" s="7"/>
    </row>
    <row r="49" spans="1:6" x14ac:dyDescent="0.2">
      <c r="A49" s="6">
        <v>45995</v>
      </c>
      <c r="B49" s="5" t="s">
        <v>69</v>
      </c>
      <c r="C49" s="5" t="s">
        <v>93</v>
      </c>
      <c r="D49" s="5"/>
      <c r="E49" s="5" t="s">
        <v>98</v>
      </c>
      <c r="F49" s="7"/>
    </row>
    <row r="50" spans="1:6" x14ac:dyDescent="0.2">
      <c r="A50" s="5"/>
      <c r="B50" s="5"/>
      <c r="C50" s="5"/>
      <c r="D50" s="5"/>
      <c r="E50" s="5"/>
      <c r="F50" s="7"/>
    </row>
    <row r="51" spans="1:6" x14ac:dyDescent="0.2">
      <c r="A51" s="6" t="s">
        <v>70</v>
      </c>
      <c r="B51" s="5" t="s">
        <v>70</v>
      </c>
      <c r="C51" s="5" t="s">
        <v>82</v>
      </c>
      <c r="D51" s="5"/>
      <c r="E51" s="5"/>
      <c r="F51" s="7"/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0356D-3C18-43D1-8407-2EF98D6DCA51}">
  <dimension ref="A1:A7"/>
  <sheetViews>
    <sheetView workbookViewId="0">
      <selection activeCell="A9" sqref="A9"/>
    </sheetView>
  </sheetViews>
  <sheetFormatPr baseColWidth="10" defaultColWidth="8.83203125" defaultRowHeight="15" x14ac:dyDescent="0.2"/>
  <sheetData>
    <row r="1" spans="1:1" x14ac:dyDescent="0.2">
      <c r="A1" t="s">
        <v>83</v>
      </c>
    </row>
    <row r="3" spans="1:1" x14ac:dyDescent="0.2">
      <c r="A3" t="s">
        <v>84</v>
      </c>
    </row>
    <row r="4" spans="1:1" x14ac:dyDescent="0.2">
      <c r="A4" t="s">
        <v>85</v>
      </c>
    </row>
    <row r="5" spans="1:1" x14ac:dyDescent="0.2">
      <c r="A5" t="s">
        <v>86</v>
      </c>
    </row>
    <row r="6" spans="1:1" x14ac:dyDescent="0.2">
      <c r="A6" t="s">
        <v>87</v>
      </c>
    </row>
    <row r="7" spans="1:1" x14ac:dyDescent="0.2">
      <c r="A7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for syllabus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Webster, Katherine (Markovich)</dc:creator>
  <cp:lastModifiedBy>Katie Markovich</cp:lastModifiedBy>
  <dcterms:created xsi:type="dcterms:W3CDTF">2025-01-10T19:56:48Z</dcterms:created>
  <dcterms:modified xsi:type="dcterms:W3CDTF">2025-08-01T13:47:48Z</dcterms:modified>
</cp:coreProperties>
</file>